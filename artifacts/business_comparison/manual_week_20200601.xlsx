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f6beeb1fbe5e3e/项目1/artifacts/business_comparison/"/>
    </mc:Choice>
  </mc:AlternateContent>
  <xr:revisionPtr revIDLastSave="0" documentId="8_{0FD6F970-F1FD-4120-86A9-4ECC9D7CC281}" xr6:coauthVersionLast="47" xr6:coauthVersionMax="47" xr10:uidLastSave="{00000000-0000-0000-0000-000000000000}"/>
  <bookViews>
    <workbookView xWindow="3645" yWindow="3645" windowWidth="18000" windowHeight="10433" xr2:uid="{B3F0AED2-F3F3-4B79-BC5B-F9036803349E}"/>
  </bookViews>
  <sheets>
    <sheet name="Method Notes" sheetId="3" r:id="rId1"/>
    <sheet name="Weekly Report" sheetId="2" r:id="rId2"/>
    <sheet name="Failure Even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  <c r="H3" i="1"/>
  <c r="B4" i="2"/>
  <c r="G2" i="1"/>
  <c r="G3" i="1"/>
  <c r="G4" i="1"/>
  <c r="G5" i="1"/>
  <c r="F2" i="1"/>
  <c r="F3" i="1"/>
  <c r="F4" i="1"/>
  <c r="F5" i="1"/>
  <c r="H2" i="1" l="1"/>
  <c r="H4" i="1"/>
  <c r="H5" i="1"/>
  <c r="B7" i="2" l="1"/>
  <c r="B6" i="2"/>
  <c r="B13" i="2" l="1"/>
  <c r="B8" i="2"/>
  <c r="B12" i="2" l="1"/>
  <c r="B9" i="2"/>
  <c r="B10" i="2" l="1"/>
  <c r="B15" i="2" s="1"/>
  <c r="B14" i="2"/>
</calcChain>
</file>

<file path=xl/sharedStrings.xml><?xml version="1.0" encoding="utf-8"?>
<sst xmlns="http://schemas.openxmlformats.org/spreadsheetml/2006/main" count="43" uniqueCount="37">
  <si>
    <t>Event</t>
  </si>
  <si>
    <t>Start UTC</t>
  </si>
  <si>
    <t>End UTC</t>
  </si>
  <si>
    <t>Type</t>
  </si>
  <si>
    <t>Severity</t>
  </si>
  <si>
    <t>Duration h</t>
  </si>
  <si>
    <t>Week Start</t>
  </si>
  <si>
    <t>In Week</t>
  </si>
  <si>
    <t>Previous End UTC</t>
  </si>
  <si>
    <t>Gap Overlap h</t>
  </si>
  <si>
    <t>Maintenance Remark</t>
  </si>
  <si>
    <t>E01</t>
  </si>
  <si>
    <t>Air Leak</t>
  </si>
  <si>
    <t>High Stress</t>
  </si>
  <si>
    <t>E02</t>
  </si>
  <si>
    <t>Maintenance on 30Apr at 12:00</t>
  </si>
  <si>
    <t>E03</t>
  </si>
  <si>
    <t>Maintenance on 8Jun at 16:00</t>
  </si>
  <si>
    <t>E04</t>
  </si>
  <si>
    <t>Maintenance on 16Jul at 00:00</t>
  </si>
  <si>
    <t>Weekly maintenance report</t>
  </si>
  <si>
    <t>Week start UTC</t>
  </si>
  <si>
    <t>Week end UTC</t>
  </si>
  <si>
    <t>Weekly event count</t>
  </si>
  <si>
    <t>Longest duration h</t>
  </si>
  <si>
    <t>Longest event</t>
  </si>
  <si>
    <t>Longest event type</t>
  </si>
  <si>
    <t>Highest weekly type duration h</t>
  </si>
  <si>
    <t>Q1: Longest annotated failure</t>
  </si>
  <si>
    <t>Q1: Duration h</t>
  </si>
  <si>
    <t>Q2: Highest-duration type</t>
  </si>
  <si>
    <t>Q2: Cumulative duration h</t>
  </si>
  <si>
    <t>Method</t>
  </si>
  <si>
    <t>Instrumented Excel formula workflow for the fixed week 2020-06-01 to 2020-06-08 UTC.</t>
  </si>
  <si>
    <t>Durations use end minus start. Weekly rows use start timestamps in a half-open interval.</t>
  </si>
  <si>
    <t>This is a personal n=1 self-experiment, not a user study or a measured business benefit.</t>
  </si>
  <si>
    <t>Excel operation timing excludes human interpretation and learning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</si>
</sst>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\ hh:mm"/>
    <numFmt numFmtId="177" formatCode="0.000000"/>
    <numFmt numFmtId="178" formatCode="yyyy\-mm\-dd"/>
    <numFmt numFmtId="179" formatCode="0.0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" fillId="0" borderId="0" xfId="0" applyFont="1">
      <alignment vertical="center"/>
    </xf>
    <xf numFmtId="17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793B-9968-4547-B553-E1252B84B5BA}">
  <dimension ref="A1:A5"/>
  <sheetViews>
    <sheetView tabSelected="1" workbookViewId="0"/>
  </sheetViews>
  <sheetFormatPr defaultRowHeight="13.9" x14ac:dyDescent="0.4"/>
  <sheetData>
    <row r="1" spans="1:1" x14ac:dyDescent="0.4">
      <c r="A1" t="s">
        <v>32</v>
      </c>
    </row>
    <row r="2" spans="1:1" x14ac:dyDescent="0.4">
      <c r="A2" t="s">
        <v>33</v>
      </c>
    </row>
    <row r="3" spans="1:1" x14ac:dyDescent="0.4">
      <c r="A3" t="s">
        <v>34</v>
      </c>
    </row>
    <row r="4" spans="1:1" x14ac:dyDescent="0.4">
      <c r="A4" t="s">
        <v>35</v>
      </c>
    </row>
    <row r="5" spans="1:1" x14ac:dyDescent="0.4">
      <c r="A5" t="s">
        <v>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B747-A49A-4470-B1B5-20903B2F5FB3}">
  <dimension ref="A1:B15"/>
  <sheetViews>
    <sheetView workbookViewId="0"/>
  </sheetViews>
  <sheetFormatPr defaultRowHeight="13.9" x14ac:dyDescent="0.4"/>
  <cols>
    <col min="2" max="2" width="16.3984375" bestFit="1" customWidth="1"/>
  </cols>
  <sheetData>
    <row r="1" spans="1:2" x14ac:dyDescent="0.4">
      <c r="A1" t="s">
        <v>20</v>
      </c>
    </row>
    <row r="3" spans="1:2" x14ac:dyDescent="0.4">
      <c r="A3" t="s">
        <v>21</v>
      </c>
      <c r="B3" s="1">
        <v>43983</v>
      </c>
    </row>
    <row r="4" spans="1:2" x14ac:dyDescent="0.4">
      <c r="A4" t="s">
        <v>22</v>
      </c>
      <c r="B4" s="1">
        <f>B3+7</f>
        <v>43990</v>
      </c>
    </row>
    <row r="6" spans="1:2" x14ac:dyDescent="0.4">
      <c r="A6" t="s">
        <v>23</v>
      </c>
      <c r="B6">
        <f>COUNTIF('Failure Events'!$H$2:$H$5,1)</f>
        <v>1</v>
      </c>
    </row>
    <row r="7" spans="1:2" x14ac:dyDescent="0.4">
      <c r="A7" t="s">
        <v>24</v>
      </c>
      <c r="B7" s="4">
        <f>_xlfn.MAXIFS('Failure Events'!$F$2:$F$5,'Failure Events'!$H$2:$H$5,1)</f>
        <v>52.5</v>
      </c>
    </row>
    <row r="8" spans="1:2" x14ac:dyDescent="0.4">
      <c r="A8" t="s">
        <v>25</v>
      </c>
      <c r="B8" t="str">
        <f>INDEX('Failure Events'!$A$2:$A$5,MATCH(1,INDEX(('Failure Events'!$H$2:$H$5=1)*('Failure Events'!$F$2:$F$5=$B$7),0),0))</f>
        <v>E03</v>
      </c>
    </row>
    <row r="9" spans="1:2" x14ac:dyDescent="0.4">
      <c r="A9" t="s">
        <v>26</v>
      </c>
      <c r="B9" t="str">
        <f>INDEX('Failure Events'!$D$2:$D$5,MATCH($B$8,'Failure Events'!$A$2:$A$5,0))</f>
        <v>Air Leak</v>
      </c>
    </row>
    <row r="10" spans="1:2" x14ac:dyDescent="0.4">
      <c r="A10" t="s">
        <v>27</v>
      </c>
      <c r="B10" s="4">
        <f>SUMIFS('Failure Events'!$F$2:$F$5,'Failure Events'!$D$2:$D$5,$B$9,'Failure Events'!$H$2:$H$5,1)</f>
        <v>52.5</v>
      </c>
    </row>
    <row r="12" spans="1:2" x14ac:dyDescent="0.4">
      <c r="A12" s="5" t="s">
        <v>28</v>
      </c>
      <c r="B12" s="5" t="str">
        <f>$B$8</f>
        <v>E03</v>
      </c>
    </row>
    <row r="13" spans="1:2" x14ac:dyDescent="0.4">
      <c r="A13" s="5" t="s">
        <v>29</v>
      </c>
      <c r="B13" s="6">
        <f>$B$7</f>
        <v>52.5</v>
      </c>
    </row>
    <row r="14" spans="1:2" x14ac:dyDescent="0.4">
      <c r="A14" s="5" t="s">
        <v>30</v>
      </c>
      <c r="B14" s="5" t="str">
        <f>$B$9</f>
        <v>Air Leak</v>
      </c>
    </row>
    <row r="15" spans="1:2" x14ac:dyDescent="0.4">
      <c r="A15" s="5" t="s">
        <v>31</v>
      </c>
      <c r="B15" s="6">
        <f>$B$10</f>
        <v>52.5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3CF0-D38D-4520-87EB-94FEC15C25E3}">
  <dimension ref="A1:K5"/>
  <sheetViews>
    <sheetView workbookViewId="0"/>
  </sheetViews>
  <sheetFormatPr defaultRowHeight="13.9" x14ac:dyDescent="0.4"/>
  <cols>
    <col min="2" max="3" width="16.3984375" bestFit="1" customWidth="1"/>
    <col min="6" max="6" width="9.46484375" bestFit="1" customWidth="1"/>
    <col min="7" max="7" width="11.1328125" bestFit="1" customWidth="1"/>
    <col min="9" max="9" width="16.398437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s="1">
        <v>43939</v>
      </c>
      <c r="C2" s="1">
        <v>43939.999305555553</v>
      </c>
      <c r="D2" t="s">
        <v>12</v>
      </c>
      <c r="E2" t="s">
        <v>13</v>
      </c>
      <c r="F2" s="2">
        <f t="shared" ref="F2:F5" si="0">(C2-B2)*24</f>
        <v>23.983333333279006</v>
      </c>
      <c r="G2" s="3">
        <f t="shared" ref="G2:G5" si="1">B2-WEEKDAY(B2,3)</f>
        <v>43934</v>
      </c>
      <c r="H2">
        <f>IF(AND(B2&gt;='Weekly Report'!$B$3,B2&lt;'Weekly Report'!$B$4),1,0)</f>
        <v>0</v>
      </c>
      <c r="I2" s="1"/>
      <c r="J2" s="2">
        <v>9.5000000000000001E-2</v>
      </c>
    </row>
    <row r="3" spans="1:11" x14ac:dyDescent="0.4">
      <c r="A3" t="s">
        <v>14</v>
      </c>
      <c r="B3" s="1">
        <v>43980.979166666664</v>
      </c>
      <c r="C3" s="1">
        <v>43981.25</v>
      </c>
      <c r="D3" t="s">
        <v>12</v>
      </c>
      <c r="E3" t="s">
        <v>13</v>
      </c>
      <c r="F3" s="2">
        <f t="shared" si="0"/>
        <v>6.5000000000582077</v>
      </c>
      <c r="G3" s="3">
        <f t="shared" si="1"/>
        <v>43976.979166666664</v>
      </c>
      <c r="H3">
        <f>IF(AND(B3&gt;='Weekly Report'!$B$3,B3&lt;'Weekly Report'!$B$4),1,0)</f>
        <v>0</v>
      </c>
      <c r="I3" s="1">
        <f>C2</f>
        <v>43939.999305555553</v>
      </c>
      <c r="J3" s="2">
        <v>0</v>
      </c>
      <c r="K3" t="s">
        <v>15</v>
      </c>
    </row>
    <row r="4" spans="1:11" x14ac:dyDescent="0.4">
      <c r="A4" t="s">
        <v>16</v>
      </c>
      <c r="B4" s="1">
        <v>43987.416666666664</v>
      </c>
      <c r="C4" s="1">
        <v>43989.604166666664</v>
      </c>
      <c r="D4" t="s">
        <v>12</v>
      </c>
      <c r="E4" t="s">
        <v>13</v>
      </c>
      <c r="F4" s="2">
        <f t="shared" si="0"/>
        <v>52.5</v>
      </c>
      <c r="G4" s="3">
        <f t="shared" si="1"/>
        <v>43983.416666666664</v>
      </c>
      <c r="H4">
        <f>IF(AND(B4&gt;='Weekly Report'!$B$3,B4&lt;'Weekly Report'!$B$4),1,0)</f>
        <v>1</v>
      </c>
      <c r="I4" s="1">
        <f>C3</f>
        <v>43981.25</v>
      </c>
      <c r="J4" s="2">
        <v>4.8205555556000004</v>
      </c>
      <c r="K4" t="s">
        <v>17</v>
      </c>
    </row>
    <row r="5" spans="1:11" x14ac:dyDescent="0.4">
      <c r="A5" t="s">
        <v>18</v>
      </c>
      <c r="B5" s="1">
        <v>44027.604166666664</v>
      </c>
      <c r="C5" s="1">
        <v>44027.791666666664</v>
      </c>
      <c r="D5" t="s">
        <v>12</v>
      </c>
      <c r="E5" t="s">
        <v>13</v>
      </c>
      <c r="F5" s="2">
        <f t="shared" si="0"/>
        <v>4.5</v>
      </c>
      <c r="G5" s="3">
        <f t="shared" si="1"/>
        <v>44025.604166666664</v>
      </c>
      <c r="H5">
        <f>IF(AND(B5&gt;='Weekly Report'!$B$3,B5&lt;'Weekly Report'!$B$4),1,0)</f>
        <v>0</v>
      </c>
      <c r="I5" s="1">
        <f>C4</f>
        <v>43989.604166666664</v>
      </c>
      <c r="J5" s="2">
        <v>3.5833333299999999E-2</v>
      </c>
      <c r="K5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Method Notes</vt:lpstr>
      <vt:lpstr>Weekly Report</vt:lpstr>
      <vt:lpstr>Failure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xxyy fan</dc:creator>
  <cp:lastModifiedBy>xxyy fan</cp:lastModifiedBy>
  <dcterms:created xsi:type="dcterms:W3CDTF">2026-10-29T05:46:07Z</dcterms:created>
  <dcterms:modified xsi:type="dcterms:W3CDTF">2026-10-29T05:46:10Z</dcterms:modified>
</cp:coreProperties>
</file>